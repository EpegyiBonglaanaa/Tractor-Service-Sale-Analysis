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X Africa programme\"/>
    </mc:Choice>
  </mc:AlternateContent>
  <xr:revisionPtr revIDLastSave="0" documentId="13_ncr:1_{127C8C10-9156-47BB-AA7B-D2E73B4C7E8B}" xr6:coauthVersionLast="47" xr6:coauthVersionMax="47" xr10:uidLastSave="{00000000-0000-0000-0000-000000000000}"/>
  <bookViews>
    <workbookView xWindow="28680" yWindow="-120" windowWidth="29040" windowHeight="15720" xr2:uid="{2F4BBD89-79EE-4CED-A7CC-4EA52E9C7420}"/>
  </bookViews>
  <sheets>
    <sheet name="Sale Report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1" l="1" a="1"/>
  <c r="F41" i="1"/>
  <c r="G41" i="1"/>
  <c r="F40" i="1" a="1"/>
  <c r="F40" i="1"/>
  <c r="G40" i="1"/>
  <c r="F39" i="1" a="1"/>
  <c r="F39" i="1"/>
  <c r="G39" i="1"/>
  <c r="F38" i="1" a="1"/>
  <c r="F38" i="1"/>
  <c r="G38" i="1"/>
  <c r="F37" i="1" a="1"/>
  <c r="F37" i="1"/>
  <c r="G37" i="1"/>
  <c r="F36" i="1" a="1"/>
  <c r="F36" i="1"/>
  <c r="G36" i="1"/>
  <c r="F35" i="1" a="1"/>
  <c r="F35" i="1"/>
  <c r="G35" i="1"/>
  <c r="F34" i="1" a="1"/>
  <c r="F34" i="1"/>
  <c r="G34" i="1"/>
  <c r="F33" i="1" a="1"/>
  <c r="F33" i="1"/>
  <c r="G33" i="1"/>
  <c r="F32" i="1" a="1"/>
  <c r="F32" i="1"/>
  <c r="G32" i="1"/>
  <c r="F31" i="1" a="1"/>
  <c r="F31" i="1"/>
  <c r="G31" i="1"/>
  <c r="F30" i="1" a="1"/>
  <c r="F30" i="1"/>
  <c r="G30" i="1"/>
  <c r="F29" i="1" a="1"/>
  <c r="F29" i="1"/>
  <c r="G29" i="1"/>
  <c r="F28" i="1" a="1"/>
  <c r="F28" i="1"/>
  <c r="G28" i="1"/>
  <c r="F27" i="1" a="1"/>
  <c r="F27" i="1"/>
  <c r="G27" i="1"/>
  <c r="F26" i="1" a="1"/>
  <c r="F26" i="1"/>
  <c r="G26" i="1"/>
  <c r="F25" i="1" a="1"/>
  <c r="F25" i="1"/>
  <c r="G25" i="1"/>
  <c r="F24" i="1" a="1"/>
  <c r="F24" i="1"/>
  <c r="G24" i="1"/>
  <c r="F23" i="1" a="1"/>
  <c r="F23" i="1"/>
  <c r="G23" i="1"/>
  <c r="F22" i="1" a="1"/>
  <c r="F22" i="1"/>
  <c r="G22" i="1"/>
  <c r="F21" i="1" a="1"/>
  <c r="F21" i="1"/>
  <c r="G21" i="1"/>
  <c r="F20" i="1" a="1"/>
  <c r="F20" i="1"/>
  <c r="G20" i="1"/>
  <c r="F19" i="1" a="1"/>
  <c r="F19" i="1"/>
  <c r="G19" i="1"/>
  <c r="F18" i="1" a="1"/>
  <c r="F18" i="1"/>
  <c r="G18" i="1"/>
  <c r="F17" i="1" a="1"/>
  <c r="F17" i="1"/>
  <c r="G17" i="1"/>
  <c r="F16" i="1" a="1"/>
  <c r="F16" i="1"/>
  <c r="G16" i="1"/>
  <c r="F15" i="1" a="1"/>
  <c r="F15" i="1"/>
  <c r="G15" i="1"/>
  <c r="F14" i="1" a="1"/>
  <c r="F14" i="1"/>
  <c r="G14" i="1"/>
  <c r="F13" i="1" a="1"/>
  <c r="F13" i="1"/>
  <c r="E13" i="1"/>
  <c r="F12" i="1"/>
  <c r="F12" i="1" a="1"/>
  <c r="E12" i="1"/>
  <c r="E42" i="1"/>
  <c r="F11" i="1" a="1"/>
  <c r="F11" i="1"/>
  <c r="G11" i="1"/>
  <c r="F10" i="1" a="1"/>
  <c r="F10" i="1"/>
  <c r="G10" i="1"/>
  <c r="F9" i="1" a="1"/>
  <c r="F9" i="1"/>
  <c r="G9" i="1"/>
  <c r="F8" i="1" a="1"/>
  <c r="F8" i="1"/>
  <c r="G7" i="1"/>
  <c r="G6" i="1"/>
  <c r="G5" i="1"/>
  <c r="G4" i="1"/>
  <c r="G3" i="1"/>
  <c r="G13" i="1"/>
  <c r="F42" i="1"/>
  <c r="G8" i="1"/>
  <c r="G42" i="1"/>
  <c r="G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<sst xmlns="http://schemas.openxmlformats.org/spreadsheetml/2006/main" count="97" uniqueCount="26">
  <si>
    <t>Soya</t>
  </si>
  <si>
    <t>Maize</t>
  </si>
  <si>
    <t>No.</t>
  </si>
  <si>
    <t>Purchaser</t>
  </si>
  <si>
    <t>Contact No.</t>
  </si>
  <si>
    <t>Commodity</t>
  </si>
  <si>
    <t>Amount(GHS)</t>
  </si>
  <si>
    <t>Day</t>
  </si>
  <si>
    <t>Month</t>
  </si>
  <si>
    <t>Year</t>
  </si>
  <si>
    <t>Salifu Yahaya</t>
  </si>
  <si>
    <t>Hanif</t>
  </si>
  <si>
    <t>Salau-deen</t>
  </si>
  <si>
    <t>Ashraf</t>
  </si>
  <si>
    <t>Boniface</t>
  </si>
  <si>
    <t>Umar Abdul-Hak</t>
  </si>
  <si>
    <t>Mohammed Latif</t>
  </si>
  <si>
    <t>Sheriff</t>
  </si>
  <si>
    <t>Section</t>
  </si>
  <si>
    <t>Total Revenue(TR)</t>
  </si>
  <si>
    <t xml:space="preserve">Total Expenses(TC) </t>
  </si>
  <si>
    <t>Total</t>
  </si>
  <si>
    <t>Name_of_Op</t>
  </si>
  <si>
    <t>Unit_Price (GHS)</t>
  </si>
  <si>
    <t>Sale_Quantity(kg)</t>
  </si>
  <si>
    <t>Deposit_status
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</si>
</sst>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rgb="FFFFC000"/>
      </top>
      <bottom style="double">
        <color rgb="FFFFC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43" fontId="2" fillId="0" borderId="0" xfId="1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/>
    <xf numFmtId="49" fontId="3" fillId="0" borderId="1" xfId="0" applyNumberFormat="1" applyFont="1" applyBorder="1"/>
    <xf numFmtId="43" fontId="3" fillId="0" borderId="1" xfId="1" applyFont="1" applyBorder="1"/>
    <xf numFmtId="0" fontId="3" fillId="0" borderId="2" xfId="1" applyNumberFormat="1" applyFont="1" applyBorder="1" applyAlignment="1">
      <alignment horizontal="left"/>
    </xf>
    <xf numFmtId="0" fontId="3" fillId="0" borderId="1" xfId="1" applyNumberFormat="1" applyFont="1" applyBorder="1" applyAlignment="1">
      <alignment horizontal="left"/>
    </xf>
    <xf numFmtId="49" fontId="3" fillId="0" borderId="3" xfId="1" applyNumberFormat="1" applyFont="1" applyBorder="1" applyAlignment="1">
      <alignment horizontal="left" vertical="center" wrapText="1"/>
    </xf>
    <xf numFmtId="43" fontId="3" fillId="0" borderId="3" xfId="1" applyFont="1" applyBorder="1"/>
    <xf numFmtId="0" fontId="2" fillId="0" borderId="1" xfId="0" applyFont="1" applyBorder="1"/>
    <xf numFmtId="49" fontId="2" fillId="0" borderId="1" xfId="0" applyNumberFormat="1" applyFont="1" applyBorder="1"/>
    <xf numFmtId="43" fontId="2" fillId="0" borderId="1" xfId="1" applyFont="1" applyBorder="1"/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4" xfId="1" applyNumberFormat="1" applyFont="1" applyBorder="1" applyAlignment="1">
      <alignment horizontal="left"/>
    </xf>
    <xf numFmtId="0" fontId="2" fillId="0" borderId="0" xfId="0" applyFont="1" applyAlignment="1">
      <alignment wrapText="1"/>
    </xf>
    <xf numFmtId="4" fontId="2" fillId="0" borderId="0" xfId="0" applyNumberFormat="1" applyFont="1"/>
    <xf numFmtId="43" fontId="2" fillId="0" borderId="5" xfId="1" applyFont="1" applyBorder="1"/>
    <xf numFmtId="43" fontId="2" fillId="0" borderId="0" xfId="1" applyFont="1" applyBorder="1"/>
    <xf numFmtId="0" fontId="2" fillId="0" borderId="2" xfId="1" applyNumberFormat="1" applyFont="1" applyFill="1" applyBorder="1" applyAlignment="1">
      <alignment horizontal="left"/>
    </xf>
    <xf numFmtId="0" fontId="2" fillId="0" borderId="4" xfId="0" applyFont="1" applyBorder="1"/>
    <xf numFmtId="0" fontId="4" fillId="0" borderId="2" xfId="1" applyNumberFormat="1" applyFont="1" applyFill="1" applyBorder="1" applyAlignment="1">
      <alignment horizontal="left"/>
    </xf>
    <xf numFmtId="0" fontId="2" fillId="0" borderId="2" xfId="0" applyFont="1" applyBorder="1"/>
    <xf numFmtId="43" fontId="2" fillId="0" borderId="4" xfId="1" applyFont="1" applyBorder="1"/>
    <xf numFmtId="49" fontId="2" fillId="0" borderId="4" xfId="0" applyNumberFormat="1" applyFont="1" applyBorder="1"/>
    <xf numFmtId="0" fontId="2" fillId="0" borderId="1" xfId="1" applyNumberFormat="1" applyFont="1" applyBorder="1" applyAlignment="1">
      <alignment horizontal="left"/>
    </xf>
    <xf numFmtId="0" fontId="2" fillId="0" borderId="5" xfId="0" applyFont="1" applyBorder="1"/>
    <xf numFmtId="0" fontId="3" fillId="0" borderId="6" xfId="0" applyFont="1" applyBorder="1"/>
    <xf numFmtId="49" fontId="3" fillId="0" borderId="6" xfId="0" applyNumberFormat="1" applyFont="1" applyBorder="1"/>
    <xf numFmtId="0" fontId="3" fillId="0" borderId="7" xfId="0" applyFont="1" applyBorder="1"/>
    <xf numFmtId="0" fontId="3" fillId="0" borderId="8" xfId="0" applyFont="1" applyBorder="1"/>
    <xf numFmtId="43" fontId="3" fillId="0" borderId="8" xfId="0" applyNumberFormat="1" applyFont="1" applyBorder="1"/>
    <xf numFmtId="0" fontId="3" fillId="0" borderId="9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0" xfId="0" applyFont="1"/>
    <xf numFmtId="0" fontId="2" fillId="0" borderId="10" xfId="0" applyFont="1" applyBorder="1"/>
    <xf numFmtId="43" fontId="2" fillId="0" borderId="10" xfId="1" applyFont="1" applyBorder="1"/>
  </cellXfs>
  <cellStyles count="2">
    <cellStyle name="Comma" xfId="1" builtinId="3"/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(* #,##0.00_);_(* \(#,##0.00\);_(* &quot;-&quot;??_);_(@_)"/>
      <border diagonalUp="0" diagonalDown="0" outline="0">
        <left/>
        <right/>
        <top style="double">
          <color rgb="FFFFC000"/>
        </top>
        <bottom style="double">
          <color rgb="FFFFC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(* #,##0.00_);_(* \(#,##0.00\);_(* &quot;-&quot;??_);_(@_)"/>
      <border diagonalUp="0" diagonalDown="0" outline="0">
        <left/>
        <right/>
        <top style="double">
          <color rgb="FFFFC000"/>
        </top>
        <bottom style="double">
          <color rgb="FFFFC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double">
          <color rgb="FFFFC000"/>
        </top>
        <bottom style="double">
          <color rgb="FFFFC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5" formatCode="_(* #,##0.00_);_(* \(#,##0.00\);_(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50884B-29CD-421F-909B-354517B4AD9A}" name="Table68" displayName="Table68" ref="A2:L42" totalsRowCount="1" headerRowDxfId="27" dataDxfId="26" totalsRowDxfId="24" tableBorderDxfId="25" headerRowCellStyle="Comma">
  <autoFilter ref="A2:L41" xr:uid="{00000000-0009-0000-0100-000006000000}"/>
  <sortState xmlns:xlrd2="http://schemas.microsoft.com/office/spreadsheetml/2017/richdata2" ref="A3:L40">
    <sortCondition ref="I3"/>
  </sortState>
  <tableColumns count="12">
    <tableColumn id="1" xr3:uid="{7EFCB47F-CFFF-4312-B71D-B91B1A538DD1}" name="No." dataDxfId="23" totalsRowDxfId="11"/>
    <tableColumn id="2" xr3:uid="{8F58C324-F750-4144-AE56-6E944898584C}" name="Purchaser" totalsRowLabel="Total" dataDxfId="22" totalsRowDxfId="10"/>
    <tableColumn id="7" xr3:uid="{CE6EBEFA-8CE6-4B20-8CD0-577D44BE34AC}" name="Contact No." dataDxfId="21" totalsRowDxfId="9"/>
    <tableColumn id="3" xr3:uid="{66B1A095-5123-4643-A40B-D3B95A19B1B9}" name="Commodity" dataDxfId="20" totalsRowDxfId="8"/>
    <tableColumn id="4" xr3:uid="{A106709F-C3F3-4D9D-A1BA-479E52178B47}" name="Sale_Quantity(kg)" totalsRowFunction="custom" dataDxfId="19" totalsRowDxfId="7">
      <totalsRowFormula>SUM(E3:E40)</totalsRowFormula>
    </tableColumn>
    <tableColumn id="5" xr3:uid="{F42AF438-1D7C-4D95-8613-0FE7C3901D4C}" name="Unit_Price (GHS)" totalsRowFunction="average" dataDxfId="18" totalsRowDxfId="6" dataCellStyle="Comma"/>
    <tableColumn id="6" xr3:uid="{0F6535B5-3DA9-4246-9726-11B653ABA3B8}" name="Amount(GHS)" totalsRowFunction="custom" dataDxfId="17" totalsRowDxfId="5" dataCellStyle="Comma">
      <calculatedColumnFormula>ROUND(PRODUCT(E3:F3),0)</calculatedColumnFormula>
      <totalsRowFormula>SUM(G3:G40)-G39</totalsRowFormula>
    </tableColumn>
    <tableColumn id="9" xr3:uid="{71A98F66-1F11-432C-A244-B4158512534D}" name="Day" dataDxfId="16" totalsRowDxfId="4" dataCellStyle="Comma"/>
    <tableColumn id="11" xr3:uid="{1569C815-5BD7-46FE-ADE2-1B9C8786BB68}" name="Month" dataDxfId="15" totalsRowDxfId="3" dataCellStyle="Comma"/>
    <tableColumn id="10" xr3:uid="{68E14A0B-120C-4735-BAC4-66CCEEE4B894}" name="Year" dataDxfId="14" totalsRowDxfId="2" dataCellStyle="Comma"/>
    <tableColumn id="12" xr3:uid="{1B671A7E-93AC-4E99-B9B2-E8F339830989}" name="Deposit_status_x000a_Yes/No" dataDxfId="13" totalsRowDxfId="1"/>
    <tableColumn id="8" xr3:uid="{094B41BE-3DD0-4E4E-B97F-1A7107EA2044}" name="Name_of_Op" dataDxfId="12" totalsRow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A5A5-D172-41E9-8564-A3D876A5D0F5}">
  <sheetPr>
    <pageSetUpPr fitToPage="1"/>
  </sheetPr>
  <dimension ref="A1:Z85"/>
  <sheetViews>
    <sheetView showGridLines="0" tabSelected="1" zoomScale="120" zoomScaleNormal="12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3" sqref="J13"/>
    </sheetView>
  </sheetViews>
  <sheetFormatPr defaultColWidth="9.1796875" defaultRowHeight="15.5" x14ac:dyDescent="0.35"/>
  <cols>
    <col min="1" max="1" width="6.453125" style="1" customWidth="1"/>
    <col min="2" max="2" width="19.1796875" style="2" customWidth="1"/>
    <col min="3" max="3" width="10.81640625" style="3" customWidth="1"/>
    <col min="4" max="4" width="13.26953125" style="2" customWidth="1"/>
    <col min="5" max="5" width="17.453125" style="2" customWidth="1"/>
    <col min="6" max="6" width="17.08984375" style="4" customWidth="1"/>
    <col min="7" max="7" width="17.453125" style="4" customWidth="1"/>
    <col min="8" max="8" width="6.7265625" style="5" customWidth="1"/>
    <col min="9" max="9" width="9" style="5" customWidth="1"/>
    <col min="10" max="10" width="6.54296875" style="5" customWidth="1"/>
    <col min="11" max="11" width="16.7265625" style="2" customWidth="1"/>
    <col min="12" max="12" width="15" style="2" customWidth="1"/>
    <col min="13" max="15" width="9.1796875" style="2"/>
    <col min="16" max="16" width="12.54296875" style="2" bestFit="1" customWidth="1"/>
    <col min="17" max="17" width="18" style="2" bestFit="1" customWidth="1"/>
    <col min="18" max="18" width="16.453125" style="2" bestFit="1" customWidth="1"/>
    <col min="19" max="19" width="10.7265625" style="2" bestFit="1" customWidth="1"/>
    <col min="20" max="20" width="15.54296875" style="2" bestFit="1" customWidth="1"/>
    <col min="21" max="21" width="19.7265625" style="2" bestFit="1" customWidth="1"/>
    <col min="22" max="23" width="5.1796875" style="2" bestFit="1" customWidth="1"/>
    <col min="24" max="24" width="6.54296875" style="2" customWidth="1"/>
    <col min="25" max="25" width="6.453125" style="2" customWidth="1"/>
    <col min="26" max="27" width="6.81640625" style="2" customWidth="1"/>
    <col min="28" max="16384" width="9.1796875" style="2"/>
  </cols>
  <sheetData>
    <row r="1" spans="1:26" ht="24" customHeight="1" x14ac:dyDescent="0.35">
      <c r="K1" s="2" t="s">
        <v>0</v>
      </c>
      <c r="L1" s="2" t="s">
        <v>1</v>
      </c>
    </row>
    <row r="2" spans="1:26" ht="36" customHeight="1" x14ac:dyDescent="0.35">
      <c r="A2" s="6" t="s">
        <v>2</v>
      </c>
      <c r="B2" s="7" t="s">
        <v>3</v>
      </c>
      <c r="C2" s="8" t="s">
        <v>4</v>
      </c>
      <c r="D2" s="7" t="s">
        <v>5</v>
      </c>
      <c r="E2" s="7" t="s">
        <v>24</v>
      </c>
      <c r="F2" s="9" t="s">
        <v>23</v>
      </c>
      <c r="G2" s="9" t="s">
        <v>6</v>
      </c>
      <c r="H2" s="10" t="s">
        <v>7</v>
      </c>
      <c r="I2" s="10" t="s">
        <v>8</v>
      </c>
      <c r="J2" s="11" t="s">
        <v>9</v>
      </c>
      <c r="K2" s="12" t="s">
        <v>25</v>
      </c>
      <c r="L2" s="13" t="s">
        <v>22</v>
      </c>
    </row>
    <row r="3" spans="1:26" x14ac:dyDescent="0.35">
      <c r="A3" s="1">
        <v>1</v>
      </c>
      <c r="B3" s="14" t="s">
        <v>10</v>
      </c>
      <c r="C3" s="15"/>
      <c r="D3" s="14" t="s">
        <v>0</v>
      </c>
      <c r="E3" s="14">
        <v>44.5</v>
      </c>
      <c r="F3" s="16">
        <v>3.6</v>
      </c>
      <c r="G3" s="16">
        <f>ROUND(PRODUCT(E3:F3),0)</f>
        <v>160</v>
      </c>
      <c r="H3" s="17">
        <v>10</v>
      </c>
      <c r="I3" s="17">
        <v>11</v>
      </c>
      <c r="J3" s="18">
        <v>2025</v>
      </c>
      <c r="L3" s="2" t="s">
        <v>11</v>
      </c>
      <c r="P3"/>
      <c r="Q3"/>
      <c r="T3"/>
      <c r="U3"/>
    </row>
    <row r="4" spans="1:26" x14ac:dyDescent="0.35">
      <c r="A4" s="1">
        <v>2</v>
      </c>
      <c r="B4" s="14" t="s">
        <v>10</v>
      </c>
      <c r="C4" s="15"/>
      <c r="D4" s="14" t="s">
        <v>1</v>
      </c>
      <c r="E4" s="14">
        <v>1135.72</v>
      </c>
      <c r="F4" s="16">
        <v>2.8</v>
      </c>
      <c r="G4" s="16">
        <f>ROUND(PRODUCT(E4:F4),0)</f>
        <v>3180</v>
      </c>
      <c r="H4" s="19">
        <v>10</v>
      </c>
      <c r="I4" s="19">
        <v>11</v>
      </c>
      <c r="J4" s="20">
        <v>2025</v>
      </c>
      <c r="K4" s="21"/>
      <c r="L4" s="2" t="s">
        <v>11</v>
      </c>
      <c r="Q4" s="22"/>
      <c r="U4" s="22"/>
    </row>
    <row r="5" spans="1:26" x14ac:dyDescent="0.35">
      <c r="A5" s="1">
        <v>3</v>
      </c>
      <c r="B5" s="14" t="s">
        <v>10</v>
      </c>
      <c r="C5" s="15"/>
      <c r="D5" s="14" t="s">
        <v>0</v>
      </c>
      <c r="E5" s="14">
        <v>600</v>
      </c>
      <c r="F5" s="16">
        <v>3.6</v>
      </c>
      <c r="G5" s="16">
        <f t="shared" ref="G5:G41" si="0">ROUND(PRODUCT(E5:F5),0)</f>
        <v>2160</v>
      </c>
      <c r="H5" s="19">
        <v>12</v>
      </c>
      <c r="I5" s="19">
        <v>11</v>
      </c>
      <c r="J5" s="20">
        <v>2025</v>
      </c>
      <c r="K5" s="21"/>
      <c r="L5" s="2" t="s">
        <v>12</v>
      </c>
      <c r="P5"/>
      <c r="Q5"/>
      <c r="R5"/>
      <c r="S5"/>
      <c r="T5"/>
      <c r="U5"/>
      <c r="V5"/>
      <c r="W5"/>
      <c r="X5"/>
      <c r="Y5"/>
      <c r="Z5"/>
    </row>
    <row r="6" spans="1:26" x14ac:dyDescent="0.35">
      <c r="A6" s="1">
        <v>4</v>
      </c>
      <c r="B6" s="14" t="s">
        <v>10</v>
      </c>
      <c r="C6" s="15"/>
      <c r="D6" s="14" t="s">
        <v>1</v>
      </c>
      <c r="E6" s="14">
        <v>800</v>
      </c>
      <c r="F6" s="16">
        <v>2.8</v>
      </c>
      <c r="G6" s="16">
        <f t="shared" si="0"/>
        <v>2240</v>
      </c>
      <c r="H6" s="17">
        <v>12</v>
      </c>
      <c r="I6" s="17">
        <v>11</v>
      </c>
      <c r="J6" s="18">
        <v>2025</v>
      </c>
      <c r="K6" s="21"/>
      <c r="L6" s="2" t="s">
        <v>13</v>
      </c>
      <c r="P6"/>
      <c r="Q6"/>
      <c r="R6"/>
      <c r="S6"/>
      <c r="T6"/>
      <c r="U6"/>
      <c r="V6"/>
      <c r="W6"/>
      <c r="X6"/>
      <c r="Y6"/>
      <c r="Z6"/>
    </row>
    <row r="7" spans="1:26" x14ac:dyDescent="0.35">
      <c r="A7" s="1">
        <v>5</v>
      </c>
      <c r="B7" s="14" t="s">
        <v>15</v>
      </c>
      <c r="C7" s="15"/>
      <c r="D7" s="14" t="s">
        <v>1</v>
      </c>
      <c r="E7" s="14">
        <v>150</v>
      </c>
      <c r="F7" s="16">
        <v>2.665</v>
      </c>
      <c r="G7" s="16">
        <f t="shared" si="0"/>
        <v>400</v>
      </c>
      <c r="H7" s="17">
        <v>14</v>
      </c>
      <c r="I7" s="17">
        <v>11</v>
      </c>
      <c r="J7" s="18">
        <v>2025</v>
      </c>
      <c r="K7" s="21"/>
      <c r="L7" s="2" t="s">
        <v>12</v>
      </c>
      <c r="P7"/>
      <c r="Q7"/>
      <c r="R7"/>
      <c r="S7"/>
      <c r="T7"/>
      <c r="U7"/>
      <c r="V7"/>
      <c r="W7"/>
      <c r="X7"/>
      <c r="Y7"/>
      <c r="Z7"/>
    </row>
    <row r="8" spans="1:26" x14ac:dyDescent="0.35">
      <c r="A8" s="1">
        <v>6</v>
      </c>
      <c r="B8" s="14" t="s">
        <v>16</v>
      </c>
      <c r="C8" s="15"/>
      <c r="D8" s="14" t="s">
        <v>1</v>
      </c>
      <c r="E8" s="14">
        <v>500</v>
      </c>
      <c r="F8" s="23" cm="1">
        <f t="array" ref="F8">_xlfn.IFS(D8=$K$1, 4, D8=$L$1,3, D8="",0)</f>
        <v>3</v>
      </c>
      <c r="G8" s="16">
        <f t="shared" si="0"/>
        <v>1500</v>
      </c>
      <c r="H8" s="17">
        <v>14</v>
      </c>
      <c r="I8" s="17">
        <v>11</v>
      </c>
      <c r="J8" s="18">
        <v>2025</v>
      </c>
      <c r="K8" s="21"/>
      <c r="L8" s="2" t="s">
        <v>12</v>
      </c>
      <c r="P8"/>
      <c r="Q8"/>
      <c r="R8"/>
      <c r="S8"/>
      <c r="T8"/>
      <c r="U8"/>
      <c r="V8"/>
      <c r="W8"/>
      <c r="X8"/>
      <c r="Y8"/>
      <c r="Z8"/>
    </row>
    <row r="9" spans="1:26" x14ac:dyDescent="0.35">
      <c r="A9" s="1">
        <v>7</v>
      </c>
      <c r="B9" s="14" t="s">
        <v>16</v>
      </c>
      <c r="C9" s="15"/>
      <c r="D9" s="14" t="s">
        <v>1</v>
      </c>
      <c r="E9" s="14">
        <v>1250</v>
      </c>
      <c r="F9" s="24" cm="1">
        <f t="array" ref="F9">_xlfn.IFS(D9=$K$1, 4, D9=$L$1,3, D9="",0)</f>
        <v>3</v>
      </c>
      <c r="G9" s="16">
        <f t="shared" si="0"/>
        <v>3750</v>
      </c>
      <c r="H9" s="17">
        <v>14</v>
      </c>
      <c r="I9" s="17">
        <v>11</v>
      </c>
      <c r="J9" s="18">
        <v>2025</v>
      </c>
      <c r="K9" s="21"/>
      <c r="L9" s="2" t="s">
        <v>13</v>
      </c>
      <c r="P9"/>
      <c r="Q9"/>
      <c r="R9"/>
      <c r="S9"/>
      <c r="T9"/>
      <c r="U9"/>
      <c r="V9"/>
      <c r="W9"/>
      <c r="X9"/>
      <c r="Y9"/>
      <c r="Z9"/>
    </row>
    <row r="10" spans="1:26" x14ac:dyDescent="0.35">
      <c r="A10" s="1">
        <v>8</v>
      </c>
      <c r="B10" s="14" t="s">
        <v>16</v>
      </c>
      <c r="C10" s="15"/>
      <c r="D10" s="14" t="s">
        <v>0</v>
      </c>
      <c r="E10" s="14">
        <v>400</v>
      </c>
      <c r="F10" s="23" cm="1">
        <f t="array" ref="F10">_xlfn.IFS(D10=$K$1, 4, D10=$L$1,3, D10="",0)</f>
        <v>4</v>
      </c>
      <c r="G10" s="16">
        <f t="shared" si="0"/>
        <v>1600</v>
      </c>
      <c r="H10" s="17">
        <v>14</v>
      </c>
      <c r="I10" s="17">
        <v>11</v>
      </c>
      <c r="J10" s="18">
        <v>2025</v>
      </c>
      <c r="K10" s="21"/>
      <c r="L10" s="2" t="s">
        <v>13</v>
      </c>
      <c r="P10"/>
      <c r="Q10"/>
      <c r="R10"/>
      <c r="S10"/>
      <c r="T10"/>
      <c r="U10"/>
      <c r="V10"/>
      <c r="W10"/>
      <c r="X10"/>
      <c r="Y10"/>
      <c r="Z10"/>
    </row>
    <row r="11" spans="1:26" x14ac:dyDescent="0.35">
      <c r="A11" s="1">
        <v>9</v>
      </c>
      <c r="B11" s="14" t="s">
        <v>16</v>
      </c>
      <c r="C11" s="15"/>
      <c r="D11" s="14" t="s">
        <v>1</v>
      </c>
      <c r="E11" s="14">
        <v>596.66</v>
      </c>
      <c r="F11" s="24" cm="1">
        <f t="array" ref="F11">_xlfn.IFS(D11=$K$1, 4, D11=$L$1,3, D11="",0)</f>
        <v>3</v>
      </c>
      <c r="G11" s="16">
        <f t="shared" si="0"/>
        <v>1790</v>
      </c>
      <c r="H11" s="17">
        <v>18</v>
      </c>
      <c r="I11" s="17">
        <v>11</v>
      </c>
      <c r="J11" s="18">
        <v>2025</v>
      </c>
      <c r="K11" s="21"/>
      <c r="L11" s="2" t="s">
        <v>13</v>
      </c>
      <c r="P11"/>
      <c r="Q11"/>
      <c r="R11"/>
      <c r="T11"/>
      <c r="U11"/>
      <c r="V11"/>
    </row>
    <row r="12" spans="1:26" x14ac:dyDescent="0.35">
      <c r="A12" s="1">
        <v>10</v>
      </c>
      <c r="B12" s="14" t="s">
        <v>10</v>
      </c>
      <c r="C12" s="15"/>
      <c r="D12" s="14" t="s">
        <v>0</v>
      </c>
      <c r="E12" s="14">
        <f>19*50</f>
        <v>950</v>
      </c>
      <c r="F12" s="23" cm="1">
        <f t="array" ref="F12">_xlfn.IFS(D12=$K$1, 4, D12=$L$1,3, D12="",0)</f>
        <v>4</v>
      </c>
      <c r="G12" s="16">
        <f t="shared" si="0"/>
        <v>3800</v>
      </c>
      <c r="H12" s="17">
        <v>19</v>
      </c>
      <c r="I12" s="17">
        <v>11</v>
      </c>
      <c r="J12" s="18">
        <v>2025</v>
      </c>
      <c r="K12" s="21"/>
      <c r="L12" s="2" t="s">
        <v>11</v>
      </c>
      <c r="P12"/>
      <c r="Q12"/>
      <c r="R12"/>
      <c r="T12"/>
      <c r="U12"/>
      <c r="V12"/>
    </row>
    <row r="13" spans="1:26" x14ac:dyDescent="0.35">
      <c r="A13" s="1">
        <v>11</v>
      </c>
      <c r="B13" s="14" t="s">
        <v>10</v>
      </c>
      <c r="C13" s="15"/>
      <c r="D13" s="14" t="s">
        <v>1</v>
      </c>
      <c r="E13" s="14">
        <f>(5*50)+46.8</f>
        <v>296.8</v>
      </c>
      <c r="F13" s="24" cm="1">
        <f t="array" ref="F13">_xlfn.IFS(D13=$K$1, 4, D13=$L$1,3, D13="",0)</f>
        <v>3</v>
      </c>
      <c r="G13" s="16">
        <f t="shared" si="0"/>
        <v>890</v>
      </c>
      <c r="H13" s="25">
        <v>19</v>
      </c>
      <c r="I13" s="19">
        <v>11</v>
      </c>
      <c r="J13" s="20">
        <v>2025</v>
      </c>
      <c r="K13" s="21"/>
      <c r="L13" s="2" t="s">
        <v>11</v>
      </c>
      <c r="P13"/>
      <c r="Q13"/>
      <c r="R13"/>
      <c r="T13"/>
      <c r="U13"/>
      <c r="V13"/>
    </row>
    <row r="14" spans="1:26" x14ac:dyDescent="0.35">
      <c r="A14" s="1">
        <v>12</v>
      </c>
      <c r="B14" s="26" t="s">
        <v>10</v>
      </c>
      <c r="C14" s="15"/>
      <c r="D14" s="14" t="s">
        <v>0</v>
      </c>
      <c r="E14" s="14">
        <v>750</v>
      </c>
      <c r="F14" s="23" cm="1">
        <f t="array" ref="F14">_xlfn.IFS(D14=$K$1, 4, D14=$L$1,3, D14="",0)</f>
        <v>4</v>
      </c>
      <c r="G14" s="16">
        <f t="shared" si="0"/>
        <v>3000</v>
      </c>
      <c r="H14" s="27">
        <v>22</v>
      </c>
      <c r="I14" s="19">
        <v>11</v>
      </c>
      <c r="J14" s="20">
        <v>2025</v>
      </c>
      <c r="K14" s="21"/>
      <c r="L14" s="2" t="s">
        <v>13</v>
      </c>
      <c r="P14"/>
      <c r="Q14"/>
      <c r="R14"/>
      <c r="T14"/>
      <c r="U14"/>
      <c r="V14"/>
    </row>
    <row r="15" spans="1:26" x14ac:dyDescent="0.35">
      <c r="A15" s="1">
        <v>13</v>
      </c>
      <c r="B15" s="14" t="s">
        <v>10</v>
      </c>
      <c r="C15" s="15"/>
      <c r="D15" s="14" t="s">
        <v>0</v>
      </c>
      <c r="E15" s="14">
        <v>250</v>
      </c>
      <c r="F15" s="24" cm="1">
        <f t="array" ref="F15">_xlfn.IFS(D15=$K$1, 4, D15=$L$1,3, D15="",0)</f>
        <v>4</v>
      </c>
      <c r="G15" s="16">
        <f t="shared" si="0"/>
        <v>1000</v>
      </c>
      <c r="H15" s="17">
        <v>22</v>
      </c>
      <c r="I15" s="17">
        <v>11</v>
      </c>
      <c r="J15" s="18">
        <v>2025</v>
      </c>
      <c r="L15" s="2" t="s">
        <v>11</v>
      </c>
      <c r="P15"/>
      <c r="Q15"/>
      <c r="R15"/>
      <c r="T15"/>
      <c r="U15"/>
      <c r="V15"/>
    </row>
    <row r="16" spans="1:26" x14ac:dyDescent="0.35">
      <c r="A16" s="1">
        <v>14</v>
      </c>
      <c r="B16" s="14" t="s">
        <v>10</v>
      </c>
      <c r="C16" s="15"/>
      <c r="D16" s="14" t="s">
        <v>0</v>
      </c>
      <c r="E16" s="14">
        <v>1050</v>
      </c>
      <c r="F16" s="23" cm="1">
        <f t="array" ref="F16">_xlfn.IFS(D16=$K$1, 4, D16=$L$1,3, D16="",0)</f>
        <v>4</v>
      </c>
      <c r="G16" s="16">
        <f t="shared" si="0"/>
        <v>4200</v>
      </c>
      <c r="H16" s="17">
        <v>22</v>
      </c>
      <c r="I16" s="17">
        <v>11</v>
      </c>
      <c r="J16" s="18">
        <v>2025</v>
      </c>
      <c r="L16" s="2" t="s">
        <v>17</v>
      </c>
      <c r="P16"/>
      <c r="Q16"/>
      <c r="R16"/>
      <c r="T16"/>
      <c r="U16"/>
      <c r="V16"/>
    </row>
    <row r="17" spans="1:22" x14ac:dyDescent="0.35">
      <c r="A17" s="1">
        <v>15</v>
      </c>
      <c r="B17" s="26" t="s">
        <v>10</v>
      </c>
      <c r="C17" s="15"/>
      <c r="D17" s="14" t="s">
        <v>1</v>
      </c>
      <c r="E17" s="28">
        <v>200</v>
      </c>
      <c r="F17" s="24" cm="1">
        <f t="array" ref="F17">_xlfn.IFS(D17=$K$1, 4, D17=$L$1,3, D17="",0)</f>
        <v>3</v>
      </c>
      <c r="G17" s="29">
        <f t="shared" si="0"/>
        <v>600</v>
      </c>
      <c r="H17" s="19">
        <v>22</v>
      </c>
      <c r="I17" s="19">
        <v>11</v>
      </c>
      <c r="J17" s="20">
        <v>2025</v>
      </c>
      <c r="L17" s="2" t="s">
        <v>17</v>
      </c>
      <c r="P17"/>
      <c r="Q17"/>
      <c r="R17"/>
      <c r="T17"/>
      <c r="U17"/>
      <c r="V17"/>
    </row>
    <row r="18" spans="1:22" x14ac:dyDescent="0.35">
      <c r="A18" s="1">
        <v>16</v>
      </c>
      <c r="B18" s="14" t="s">
        <v>10</v>
      </c>
      <c r="C18" s="15"/>
      <c r="D18" s="14" t="s">
        <v>0</v>
      </c>
      <c r="E18" s="14">
        <v>450</v>
      </c>
      <c r="F18" s="23" cm="1">
        <f t="array" ref="F18">_xlfn.IFS(D18=$K$1, 4, D18=$L$1,3, D18="",0)</f>
        <v>4</v>
      </c>
      <c r="G18" s="16">
        <f t="shared" si="0"/>
        <v>1800</v>
      </c>
      <c r="H18" s="19">
        <v>24</v>
      </c>
      <c r="I18" s="19">
        <v>11</v>
      </c>
      <c r="J18" s="20">
        <v>2025</v>
      </c>
      <c r="L18" s="2" t="s">
        <v>13</v>
      </c>
      <c r="P18"/>
      <c r="Q18"/>
      <c r="R18"/>
      <c r="T18"/>
      <c r="U18"/>
      <c r="V18"/>
    </row>
    <row r="19" spans="1:22" x14ac:dyDescent="0.35">
      <c r="A19" s="1">
        <v>17</v>
      </c>
      <c r="B19" s="14" t="s">
        <v>10</v>
      </c>
      <c r="C19" s="15"/>
      <c r="D19" s="14" t="s">
        <v>0</v>
      </c>
      <c r="E19" s="14">
        <v>500</v>
      </c>
      <c r="F19" s="24" cm="1">
        <f t="array" ref="F19">_xlfn.IFS(D19=$K$1, 4, D19=$L$1,3, D19="",0)</f>
        <v>4</v>
      </c>
      <c r="G19" s="16">
        <f t="shared" si="0"/>
        <v>2000</v>
      </c>
      <c r="H19" s="19">
        <v>24</v>
      </c>
      <c r="I19" s="19">
        <v>11</v>
      </c>
      <c r="J19" s="20">
        <v>2025</v>
      </c>
      <c r="L19" s="2" t="s">
        <v>11</v>
      </c>
      <c r="P19"/>
      <c r="Q19"/>
      <c r="R19"/>
      <c r="T19"/>
      <c r="U19"/>
      <c r="V19"/>
    </row>
    <row r="20" spans="1:22" x14ac:dyDescent="0.35">
      <c r="A20" s="1">
        <v>18</v>
      </c>
      <c r="B20" s="14" t="s">
        <v>10</v>
      </c>
      <c r="C20" s="15"/>
      <c r="D20" s="14" t="s">
        <v>0</v>
      </c>
      <c r="E20" s="14">
        <v>1400</v>
      </c>
      <c r="F20" s="23" cm="1">
        <f t="array" ref="F20">_xlfn.IFS(D20=$K$1, 4, D20=$L$1,3, D20="",0)</f>
        <v>4</v>
      </c>
      <c r="G20" s="16">
        <f t="shared" si="0"/>
        <v>5600</v>
      </c>
      <c r="H20" s="19">
        <v>26</v>
      </c>
      <c r="I20" s="19">
        <v>11</v>
      </c>
      <c r="J20" s="20">
        <v>2025</v>
      </c>
      <c r="L20" s="2" t="s">
        <v>17</v>
      </c>
      <c r="P20"/>
      <c r="Q20"/>
      <c r="R20"/>
      <c r="T20"/>
      <c r="U20"/>
      <c r="V20"/>
    </row>
    <row r="21" spans="1:22" x14ac:dyDescent="0.35">
      <c r="A21" s="1">
        <v>19</v>
      </c>
      <c r="B21" s="14" t="s">
        <v>10</v>
      </c>
      <c r="C21" s="15"/>
      <c r="D21" s="14" t="s">
        <v>1</v>
      </c>
      <c r="E21" s="14">
        <v>200</v>
      </c>
      <c r="F21" s="24" cm="1">
        <f t="array" ref="F21">_xlfn.IFS(D21=$K$1, 4, D21=$L$1,3, D21="",0)</f>
        <v>3</v>
      </c>
      <c r="G21" s="16">
        <f t="shared" si="0"/>
        <v>600</v>
      </c>
      <c r="H21" s="17">
        <v>26</v>
      </c>
      <c r="I21" s="17">
        <v>11</v>
      </c>
      <c r="J21" s="18">
        <v>2025</v>
      </c>
      <c r="L21" s="2" t="s">
        <v>17</v>
      </c>
      <c r="P21"/>
      <c r="Q21"/>
      <c r="R21"/>
      <c r="T21"/>
      <c r="U21"/>
      <c r="V21"/>
    </row>
    <row r="22" spans="1:22" x14ac:dyDescent="0.35">
      <c r="A22" s="1">
        <v>20</v>
      </c>
      <c r="B22" s="14" t="s">
        <v>10</v>
      </c>
      <c r="C22" s="15"/>
      <c r="D22" s="14" t="s">
        <v>0</v>
      </c>
      <c r="E22" s="14">
        <v>850</v>
      </c>
      <c r="F22" s="23" cm="1">
        <f t="array" ref="F22">_xlfn.IFS(D22=$K$1, 4, D22=$L$1,3, D22="",0)</f>
        <v>4</v>
      </c>
      <c r="G22" s="16">
        <f t="shared" si="0"/>
        <v>3400</v>
      </c>
      <c r="H22" s="19">
        <v>26</v>
      </c>
      <c r="I22" s="19">
        <v>11</v>
      </c>
      <c r="J22" s="20">
        <v>2025</v>
      </c>
      <c r="L22" s="2" t="s">
        <v>11</v>
      </c>
      <c r="P22"/>
      <c r="Q22"/>
      <c r="R22"/>
      <c r="T22"/>
      <c r="U22"/>
      <c r="V22"/>
    </row>
    <row r="23" spans="1:22" x14ac:dyDescent="0.35">
      <c r="A23" s="1">
        <v>21</v>
      </c>
      <c r="B23" s="14" t="s">
        <v>10</v>
      </c>
      <c r="C23" s="15"/>
      <c r="D23" s="14" t="s">
        <v>0</v>
      </c>
      <c r="E23" s="14">
        <v>850</v>
      </c>
      <c r="F23" s="24" cm="1">
        <f t="array" ref="F23">_xlfn.IFS(D23=$K$1, 4, D23=$L$1,3, D23="",0)</f>
        <v>4</v>
      </c>
      <c r="G23" s="16">
        <f t="shared" si="0"/>
        <v>3400</v>
      </c>
      <c r="H23" s="19">
        <v>27</v>
      </c>
      <c r="I23" s="19">
        <v>11</v>
      </c>
      <c r="J23" s="20">
        <v>2025</v>
      </c>
      <c r="L23" s="2" t="s">
        <v>13</v>
      </c>
      <c r="P23"/>
    </row>
    <row r="24" spans="1:22" x14ac:dyDescent="0.35">
      <c r="A24" s="1">
        <v>22</v>
      </c>
      <c r="B24" s="26" t="s">
        <v>10</v>
      </c>
      <c r="C24" s="15"/>
      <c r="D24" s="14" t="s">
        <v>0</v>
      </c>
      <c r="E24" s="14">
        <v>1000</v>
      </c>
      <c r="F24" s="23" cm="1">
        <f t="array" ref="F24">_xlfn.IFS(D24=$K$1, 4.2, D24=$L$1,3, D24="",0)</f>
        <v>4.2</v>
      </c>
      <c r="G24" s="16">
        <f t="shared" si="0"/>
        <v>4200</v>
      </c>
      <c r="H24" s="19">
        <v>1</v>
      </c>
      <c r="I24" s="19">
        <v>12</v>
      </c>
      <c r="J24" s="20">
        <v>2025</v>
      </c>
      <c r="L24" s="2" t="s">
        <v>12</v>
      </c>
      <c r="P24"/>
    </row>
    <row r="25" spans="1:22" x14ac:dyDescent="0.35">
      <c r="A25" s="1">
        <v>23</v>
      </c>
      <c r="B25" s="26" t="s">
        <v>10</v>
      </c>
      <c r="C25" s="15"/>
      <c r="D25" s="14" t="s">
        <v>0</v>
      </c>
      <c r="E25" s="14">
        <v>2750</v>
      </c>
      <c r="F25" s="23" cm="1">
        <f t="array" ref="F25">_xlfn.IFS(D25=$K$1, 4.2, D25=$L$1,3, D25="",0)</f>
        <v>4.2</v>
      </c>
      <c r="G25" s="16">
        <f t="shared" si="0"/>
        <v>11550</v>
      </c>
      <c r="H25" s="19">
        <v>2</v>
      </c>
      <c r="I25" s="19">
        <v>12</v>
      </c>
      <c r="J25" s="20">
        <v>2025</v>
      </c>
      <c r="L25" s="2" t="s">
        <v>12</v>
      </c>
      <c r="P25"/>
    </row>
    <row r="26" spans="1:22" x14ac:dyDescent="0.35">
      <c r="A26" s="1">
        <v>24</v>
      </c>
      <c r="B26" s="26" t="s">
        <v>14</v>
      </c>
      <c r="C26" s="15"/>
      <c r="D26" s="14" t="s">
        <v>0</v>
      </c>
      <c r="E26" s="14">
        <v>550</v>
      </c>
      <c r="F26" s="23" cm="1">
        <f t="array" ref="F26">_xlfn.IFS(D26=$K$1, 4.2, D26=$L$1,3, D26="",0)</f>
        <v>4.2</v>
      </c>
      <c r="G26" s="16">
        <f t="shared" si="0"/>
        <v>2310</v>
      </c>
      <c r="H26" s="19">
        <v>5</v>
      </c>
      <c r="I26" s="19">
        <v>12</v>
      </c>
      <c r="J26" s="20">
        <v>2025</v>
      </c>
      <c r="L26" s="2" t="s">
        <v>13</v>
      </c>
    </row>
    <row r="27" spans="1:22" x14ac:dyDescent="0.35">
      <c r="A27" s="1">
        <v>25</v>
      </c>
      <c r="B27" s="26" t="s">
        <v>10</v>
      </c>
      <c r="C27" s="15"/>
      <c r="D27" s="14" t="s">
        <v>0</v>
      </c>
      <c r="E27" s="14">
        <v>400</v>
      </c>
      <c r="F27" s="23" cm="1">
        <f t="array" ref="F27">_xlfn.IFS(D27=$K$1, 4.2, D27=$L$1,3, D27="",0)</f>
        <v>4.2</v>
      </c>
      <c r="G27" s="16">
        <f t="shared" si="0"/>
        <v>1680</v>
      </c>
      <c r="H27" s="19">
        <v>8</v>
      </c>
      <c r="I27" s="19">
        <v>12</v>
      </c>
      <c r="J27" s="20">
        <v>2025</v>
      </c>
      <c r="L27" s="2" t="s">
        <v>17</v>
      </c>
    </row>
    <row r="28" spans="1:22" x14ac:dyDescent="0.35">
      <c r="A28" s="1">
        <v>26</v>
      </c>
      <c r="B28" s="26" t="s">
        <v>10</v>
      </c>
      <c r="C28" s="15"/>
      <c r="D28" s="14" t="s">
        <v>1</v>
      </c>
      <c r="E28" s="14">
        <v>800</v>
      </c>
      <c r="F28" s="23" cm="1">
        <f t="array" ref="F28">_xlfn.IFS(D28=$K$1, 4.2, D28=$L$1,3, D28="",0)</f>
        <v>3</v>
      </c>
      <c r="G28" s="16">
        <f t="shared" si="0"/>
        <v>2400</v>
      </c>
      <c r="H28" s="19">
        <v>8</v>
      </c>
      <c r="I28" s="19">
        <v>12</v>
      </c>
      <c r="J28" s="20">
        <v>2025</v>
      </c>
      <c r="L28" s="2" t="s">
        <v>17</v>
      </c>
    </row>
    <row r="29" spans="1:22" x14ac:dyDescent="0.35">
      <c r="A29" s="1">
        <v>27</v>
      </c>
      <c r="B29" s="26"/>
      <c r="C29" s="15"/>
      <c r="D29" s="14"/>
      <c r="E29" s="14"/>
      <c r="F29" s="23" cm="1">
        <f t="array" ref="F29">_xlfn.IFS(D29=$K$1, 4.2, D29=$L$1,3, D29="",0)</f>
        <v>0</v>
      </c>
      <c r="G29" s="16">
        <f t="shared" si="0"/>
        <v>0</v>
      </c>
      <c r="H29" s="19"/>
      <c r="I29" s="19"/>
      <c r="J29" s="20"/>
    </row>
    <row r="30" spans="1:22" x14ac:dyDescent="0.35">
      <c r="A30" s="1">
        <v>28</v>
      </c>
      <c r="B30" s="26"/>
      <c r="C30" s="15"/>
      <c r="D30" s="14"/>
      <c r="E30" s="14"/>
      <c r="F30" s="23" cm="1">
        <f t="array" ref="F30">_xlfn.IFS(D30=$K$1, 4.2, D30=$L$1,3, D30="",0)</f>
        <v>0</v>
      </c>
      <c r="G30" s="16">
        <f t="shared" si="0"/>
        <v>0</v>
      </c>
      <c r="H30" s="19"/>
      <c r="I30" s="19"/>
      <c r="J30" s="20"/>
    </row>
    <row r="31" spans="1:22" x14ac:dyDescent="0.35">
      <c r="A31" s="1">
        <v>29</v>
      </c>
      <c r="B31" s="26"/>
      <c r="C31" s="15"/>
      <c r="D31" s="14"/>
      <c r="E31" s="14"/>
      <c r="F31" s="23" cm="1">
        <f t="array" ref="F31">_xlfn.IFS(D31=$K$1, 4.2, D31=$L$1,3, D31="",0)</f>
        <v>0</v>
      </c>
      <c r="G31" s="16">
        <f t="shared" si="0"/>
        <v>0</v>
      </c>
      <c r="H31" s="19"/>
      <c r="I31" s="19"/>
      <c r="J31" s="20"/>
    </row>
    <row r="32" spans="1:22" x14ac:dyDescent="0.35">
      <c r="A32" s="1">
        <v>30</v>
      </c>
      <c r="B32" s="14"/>
      <c r="C32" s="15"/>
      <c r="D32" s="14"/>
      <c r="E32" s="14"/>
      <c r="F32" s="23" cm="1">
        <f t="array" ref="F32">_xlfn.IFS(D32=$K$1, 4.2, D32=$L$1,3, D32="",0)</f>
        <v>0</v>
      </c>
      <c r="G32" s="16">
        <f t="shared" si="0"/>
        <v>0</v>
      </c>
      <c r="H32" s="17"/>
      <c r="I32" s="17"/>
      <c r="J32" s="18"/>
    </row>
    <row r="33" spans="1:17" x14ac:dyDescent="0.35">
      <c r="A33" s="1">
        <v>31</v>
      </c>
      <c r="B33" s="14"/>
      <c r="C33" s="15"/>
      <c r="D33" s="14"/>
      <c r="E33" s="14"/>
      <c r="F33" s="23" cm="1">
        <f t="array" ref="F33">_xlfn.IFS(D33=$K$1, 4.2, D33=$L$1,3, D33="",0)</f>
        <v>0</v>
      </c>
      <c r="G33" s="16">
        <f t="shared" si="0"/>
        <v>0</v>
      </c>
      <c r="H33" s="17"/>
      <c r="I33" s="17"/>
      <c r="J33" s="18"/>
    </row>
    <row r="34" spans="1:17" x14ac:dyDescent="0.35">
      <c r="A34" s="1">
        <v>32</v>
      </c>
      <c r="B34" s="14"/>
      <c r="C34" s="30"/>
      <c r="D34" s="14"/>
      <c r="E34" s="14"/>
      <c r="F34" s="23" cm="1">
        <f t="array" ref="F34">_xlfn.IFS(D34=$K$1, 4.2, D34=$L$1,3, D34="",0)</f>
        <v>0</v>
      </c>
      <c r="G34" s="16">
        <f t="shared" si="0"/>
        <v>0</v>
      </c>
      <c r="H34" s="17"/>
      <c r="I34" s="17"/>
      <c r="J34" s="18"/>
    </row>
    <row r="35" spans="1:17" x14ac:dyDescent="0.35">
      <c r="A35" s="1">
        <v>33</v>
      </c>
      <c r="B35" s="14"/>
      <c r="C35" s="30"/>
      <c r="D35" s="14"/>
      <c r="E35" s="14"/>
      <c r="F35" s="23" cm="1">
        <f t="array" ref="F35">_xlfn.IFS(D35=$K$1, 4.2, D35=$L$1,3, D35="",0)</f>
        <v>0</v>
      </c>
      <c r="G35" s="16">
        <f t="shared" si="0"/>
        <v>0</v>
      </c>
      <c r="H35" s="19"/>
      <c r="I35" s="19"/>
      <c r="J35" s="31"/>
    </row>
    <row r="36" spans="1:17" x14ac:dyDescent="0.35">
      <c r="B36" s="26"/>
      <c r="C36" s="30"/>
      <c r="D36" s="14"/>
      <c r="E36" s="14"/>
      <c r="F36" s="23" cm="1">
        <f t="array" ref="F36">_xlfn.IFS(D36=$K$1, 4.2, D36=$L$1,3, D36="",0)</f>
        <v>0</v>
      </c>
      <c r="G36" s="16">
        <f t="shared" si="0"/>
        <v>0</v>
      </c>
      <c r="H36" s="19"/>
      <c r="I36" s="19"/>
      <c r="J36" s="20"/>
    </row>
    <row r="37" spans="1:17" x14ac:dyDescent="0.35">
      <c r="B37" s="26"/>
      <c r="C37" s="30"/>
      <c r="D37" s="14"/>
      <c r="E37" s="14"/>
      <c r="F37" s="23" cm="1">
        <f t="array" ref="F37">_xlfn.IFS(D37=$K$1, 4.2, D37=$L$1,3, D37="",0)</f>
        <v>0</v>
      </c>
      <c r="G37" s="16">
        <f t="shared" si="0"/>
        <v>0</v>
      </c>
      <c r="H37" s="19"/>
      <c r="I37" s="19"/>
      <c r="J37" s="20"/>
    </row>
    <row r="38" spans="1:17" x14ac:dyDescent="0.35">
      <c r="B38" s="14"/>
      <c r="C38" s="15"/>
      <c r="D38" s="14"/>
      <c r="E38" s="14"/>
      <c r="F38" s="23" cm="1">
        <f t="array" ref="F38">_xlfn.IFS(D38=$K$1, 4.2, D38=$L$1,3, D38="",0)</f>
        <v>0</v>
      </c>
      <c r="G38" s="16">
        <f t="shared" si="0"/>
        <v>0</v>
      </c>
      <c r="H38" s="19"/>
      <c r="I38" s="19"/>
      <c r="J38" s="20"/>
      <c r="P38" s="2" t="s">
        <v>18</v>
      </c>
      <c r="Q38" s="2" t="s">
        <v>6</v>
      </c>
    </row>
    <row r="39" spans="1:17" x14ac:dyDescent="0.35">
      <c r="B39" s="26"/>
      <c r="C39" s="30"/>
      <c r="D39" s="14"/>
      <c r="E39" s="14"/>
      <c r="F39" s="23" cm="1">
        <f t="array" ref="F39">_xlfn.IFS(D39=$K$1, 4.2, D39=$L$1,3, D39="",0)</f>
        <v>0</v>
      </c>
      <c r="G39" s="16">
        <f t="shared" si="0"/>
        <v>0</v>
      </c>
      <c r="H39" s="19"/>
      <c r="I39" s="19"/>
      <c r="J39" s="20"/>
      <c r="P39" s="2" t="s">
        <v>19</v>
      </c>
      <c r="Q39" s="22">
        <v>180900</v>
      </c>
    </row>
    <row r="40" spans="1:17" x14ac:dyDescent="0.35">
      <c r="B40" s="26"/>
      <c r="C40" s="30"/>
      <c r="D40" s="14"/>
      <c r="E40" s="14"/>
      <c r="F40" s="23" cm="1">
        <f t="array" ref="F40">_xlfn.IFS(D40=$K$1, 4.2, D40=$L$1,3, D40="",0)</f>
        <v>0</v>
      </c>
      <c r="G40" s="16">
        <f t="shared" si="0"/>
        <v>0</v>
      </c>
      <c r="H40" s="19"/>
      <c r="I40" s="19"/>
      <c r="J40" s="20"/>
      <c r="P40" s="2" t="s">
        <v>20</v>
      </c>
      <c r="Q40" s="22">
        <v>80253</v>
      </c>
    </row>
    <row r="41" spans="1:17" ht="16" thickBot="1" x14ac:dyDescent="0.4">
      <c r="B41" s="14"/>
      <c r="C41" s="15"/>
      <c r="D41" s="14"/>
      <c r="E41" s="32"/>
      <c r="F41" s="23" cm="1">
        <f t="array" ref="F41">_xlfn.IFS(D41=$K$1, 4.2, D41=$L$1,3, D41="",0)</f>
        <v>0</v>
      </c>
      <c r="G41" s="16">
        <f t="shared" si="0"/>
        <v>0</v>
      </c>
      <c r="H41" s="19"/>
      <c r="I41" s="19"/>
      <c r="J41" s="31"/>
    </row>
    <row r="42" spans="1:17" ht="16.5" thickTop="1" thickBot="1" x14ac:dyDescent="0.4">
      <c r="A42" s="6"/>
      <c r="B42" s="33" t="s">
        <v>21</v>
      </c>
      <c r="C42" s="34"/>
      <c r="D42" s="35"/>
      <c r="E42" s="36">
        <f>SUM(E3:E40)</f>
        <v>18723.68</v>
      </c>
      <c r="F42" s="37">
        <f>SUBTOTAL(101,F3:F41)</f>
        <v>2.3914102564102566</v>
      </c>
      <c r="G42" s="37">
        <f>SUM(G3:G40)-G39</f>
        <v>69210</v>
      </c>
      <c r="H42" s="38"/>
      <c r="I42" s="39"/>
      <c r="J42" s="40"/>
      <c r="K42" s="41"/>
      <c r="L42" s="41"/>
    </row>
    <row r="43" spans="1:17" ht="16" thickTop="1" x14ac:dyDescent="0.35">
      <c r="B43" s="14"/>
      <c r="C43" s="15"/>
      <c r="D43" s="14"/>
      <c r="E43" s="42"/>
      <c r="F43" s="43"/>
      <c r="G43" s="43"/>
      <c r="H43" s="18"/>
    </row>
    <row r="44" spans="1:17" hidden="1" x14ac:dyDescent="0.35">
      <c r="B44" s="14"/>
      <c r="C44" s="15"/>
      <c r="D44" s="14"/>
      <c r="E44" s="14"/>
      <c r="F44" s="16"/>
      <c r="G44" s="16"/>
      <c r="H44" s="18"/>
    </row>
    <row r="45" spans="1:17" x14ac:dyDescent="0.35">
      <c r="B45" s="14"/>
      <c r="C45" s="15"/>
      <c r="D45" s="14"/>
      <c r="E45" s="14"/>
      <c r="F45" s="16"/>
      <c r="G45" s="16"/>
      <c r="H45" s="18"/>
    </row>
    <row r="46" spans="1:17" x14ac:dyDescent="0.35">
      <c r="B46" s="14"/>
      <c r="C46" s="15"/>
      <c r="D46" s="14"/>
      <c r="E46" s="14"/>
      <c r="F46" s="16"/>
      <c r="G46" s="16"/>
      <c r="H46" s="18"/>
    </row>
    <row r="47" spans="1:17" x14ac:dyDescent="0.35">
      <c r="B47" s="14"/>
      <c r="C47" s="15"/>
      <c r="D47" s="14"/>
      <c r="E47" s="14"/>
      <c r="F47" s="16"/>
      <c r="G47" s="16"/>
      <c r="H47" s="18"/>
    </row>
    <row r="48" spans="1:17" x14ac:dyDescent="0.35">
      <c r="B48" s="14"/>
      <c r="C48" s="15"/>
      <c r="D48" s="14"/>
      <c r="E48" s="14"/>
      <c r="F48" s="16"/>
      <c r="G48" s="16"/>
      <c r="H48" s="18"/>
    </row>
    <row r="49" spans="2:18" x14ac:dyDescent="0.35">
      <c r="B49" s="14"/>
      <c r="C49" s="15"/>
      <c r="D49" s="14"/>
      <c r="E49" s="14"/>
      <c r="F49" s="16"/>
      <c r="G49" s="16"/>
      <c r="H49" s="18"/>
    </row>
    <row r="50" spans="2:18" x14ac:dyDescent="0.35">
      <c r="B50" s="14"/>
      <c r="C50" s="15"/>
      <c r="D50" s="14"/>
      <c r="E50" s="14"/>
      <c r="F50" s="16"/>
      <c r="G50" s="16"/>
      <c r="H50" s="18"/>
      <c r="Q50" s="22"/>
      <c r="R50" s="22"/>
    </row>
    <row r="51" spans="2:18" x14ac:dyDescent="0.35">
      <c r="B51" s="14"/>
      <c r="C51" s="15"/>
      <c r="D51" s="14"/>
      <c r="E51" s="14"/>
      <c r="F51" s="16"/>
      <c r="G51" s="16"/>
      <c r="H51" s="18"/>
      <c r="Q51" s="22"/>
      <c r="R51" s="22"/>
    </row>
    <row r="52" spans="2:18" x14ac:dyDescent="0.35">
      <c r="B52" s="14"/>
      <c r="C52" s="15"/>
      <c r="D52" s="14"/>
      <c r="E52" s="14"/>
      <c r="F52" s="16"/>
      <c r="G52" s="16"/>
      <c r="H52" s="18"/>
      <c r="Q52" s="22"/>
    </row>
    <row r="53" spans="2:18" x14ac:dyDescent="0.35">
      <c r="B53" s="14"/>
      <c r="C53" s="15"/>
      <c r="D53" s="14"/>
      <c r="E53" s="14"/>
      <c r="F53" s="16"/>
      <c r="G53" s="16"/>
      <c r="H53" s="18"/>
    </row>
    <row r="54" spans="2:18" x14ac:dyDescent="0.35">
      <c r="B54" s="14"/>
      <c r="C54" s="15"/>
      <c r="D54" s="14"/>
      <c r="E54" s="14"/>
      <c r="F54" s="16"/>
      <c r="G54" s="16"/>
      <c r="H54" s="18"/>
    </row>
    <row r="55" spans="2:18" x14ac:dyDescent="0.35">
      <c r="B55" s="14"/>
      <c r="C55" s="15"/>
      <c r="D55" s="14"/>
      <c r="E55" s="14"/>
      <c r="F55" s="16"/>
      <c r="G55" s="16"/>
      <c r="H55" s="18"/>
    </row>
    <row r="56" spans="2:18" x14ac:dyDescent="0.35">
      <c r="B56" s="14"/>
      <c r="C56" s="15"/>
      <c r="D56" s="14"/>
      <c r="E56" s="14"/>
      <c r="F56" s="16"/>
      <c r="G56" s="16"/>
      <c r="H56" s="18"/>
    </row>
    <row r="57" spans="2:18" x14ac:dyDescent="0.35">
      <c r="B57" s="14"/>
      <c r="C57" s="15"/>
      <c r="D57" s="14"/>
      <c r="E57" s="14"/>
      <c r="F57" s="16"/>
      <c r="G57" s="16"/>
      <c r="H57" s="18"/>
    </row>
    <row r="58" spans="2:18" x14ac:dyDescent="0.35">
      <c r="B58" s="14"/>
      <c r="C58" s="15"/>
      <c r="D58" s="14"/>
      <c r="E58" s="14"/>
      <c r="F58" s="16"/>
      <c r="G58" s="16"/>
      <c r="H58" s="18"/>
    </row>
    <row r="59" spans="2:18" x14ac:dyDescent="0.35">
      <c r="B59" s="14"/>
      <c r="C59" s="15"/>
      <c r="D59" s="14"/>
      <c r="E59" s="14"/>
      <c r="F59" s="16"/>
      <c r="G59" s="16"/>
      <c r="H59" s="18"/>
    </row>
    <row r="60" spans="2:18" x14ac:dyDescent="0.35">
      <c r="B60" s="14"/>
      <c r="C60" s="15"/>
      <c r="D60" s="14"/>
      <c r="E60" s="14"/>
      <c r="F60" s="16"/>
      <c r="G60" s="16"/>
      <c r="H60" s="18"/>
    </row>
    <row r="61" spans="2:18" x14ac:dyDescent="0.35">
      <c r="B61" s="14"/>
      <c r="C61" s="15"/>
      <c r="D61" s="14"/>
      <c r="E61" s="14"/>
      <c r="F61" s="16"/>
      <c r="G61" s="16"/>
      <c r="H61" s="18"/>
    </row>
    <row r="62" spans="2:18" x14ac:dyDescent="0.35">
      <c r="B62" s="14"/>
      <c r="C62" s="15"/>
      <c r="D62" s="14"/>
      <c r="E62" s="14"/>
      <c r="F62" s="16"/>
      <c r="G62" s="16"/>
      <c r="H62" s="18"/>
    </row>
    <row r="63" spans="2:18" x14ac:dyDescent="0.35">
      <c r="B63" s="14"/>
      <c r="C63" s="15"/>
      <c r="D63" s="14"/>
      <c r="E63" s="14"/>
      <c r="F63" s="16"/>
      <c r="G63" s="16"/>
      <c r="H63" s="18"/>
    </row>
    <row r="64" spans="2:18" x14ac:dyDescent="0.35">
      <c r="B64" s="14"/>
      <c r="C64" s="15"/>
      <c r="D64" s="14"/>
      <c r="E64" s="14"/>
      <c r="F64" s="16"/>
      <c r="G64" s="16"/>
      <c r="H64" s="18"/>
    </row>
    <row r="65" spans="2:8" x14ac:dyDescent="0.35">
      <c r="B65" s="14"/>
      <c r="C65" s="15"/>
      <c r="D65" s="14"/>
      <c r="E65" s="14"/>
      <c r="F65" s="16"/>
      <c r="G65" s="16"/>
      <c r="H65" s="18"/>
    </row>
    <row r="66" spans="2:8" x14ac:dyDescent="0.35">
      <c r="B66" s="14"/>
      <c r="C66" s="15"/>
      <c r="D66" s="14"/>
      <c r="E66" s="14"/>
      <c r="F66" s="16"/>
      <c r="G66" s="16"/>
      <c r="H66" s="18"/>
    </row>
    <row r="67" spans="2:8" x14ac:dyDescent="0.35">
      <c r="B67" s="14"/>
      <c r="C67" s="15"/>
      <c r="D67" s="14"/>
      <c r="E67" s="14"/>
      <c r="F67" s="16"/>
      <c r="G67" s="16"/>
      <c r="H67" s="18"/>
    </row>
    <row r="68" spans="2:8" x14ac:dyDescent="0.35">
      <c r="B68" s="14"/>
      <c r="C68" s="15"/>
      <c r="D68" s="14"/>
      <c r="E68" s="14"/>
      <c r="F68" s="16"/>
      <c r="G68" s="16"/>
      <c r="H68" s="18"/>
    </row>
    <row r="69" spans="2:8" x14ac:dyDescent="0.35">
      <c r="B69" s="14"/>
      <c r="C69" s="15"/>
      <c r="D69" s="14"/>
      <c r="E69" s="14"/>
      <c r="F69" s="16"/>
      <c r="G69" s="16"/>
      <c r="H69" s="18"/>
    </row>
    <row r="70" spans="2:8" x14ac:dyDescent="0.35">
      <c r="B70" s="14"/>
      <c r="C70" s="15"/>
      <c r="D70" s="14"/>
      <c r="E70" s="14"/>
      <c r="F70" s="16"/>
      <c r="G70" s="16"/>
      <c r="H70" s="18"/>
    </row>
    <row r="71" spans="2:8" x14ac:dyDescent="0.35">
      <c r="B71" s="14"/>
      <c r="C71" s="15"/>
      <c r="D71" s="14"/>
      <c r="E71" s="14"/>
      <c r="F71" s="16"/>
      <c r="G71" s="16"/>
      <c r="H71" s="18"/>
    </row>
    <row r="72" spans="2:8" x14ac:dyDescent="0.35">
      <c r="B72" s="14"/>
      <c r="C72" s="15"/>
      <c r="D72" s="14"/>
      <c r="E72" s="14"/>
      <c r="F72" s="16"/>
      <c r="G72" s="16"/>
      <c r="H72" s="18"/>
    </row>
    <row r="73" spans="2:8" x14ac:dyDescent="0.35">
      <c r="B73" s="14"/>
      <c r="C73" s="15"/>
      <c r="D73" s="14"/>
      <c r="E73" s="14"/>
      <c r="F73" s="16"/>
      <c r="G73" s="16"/>
      <c r="H73" s="18"/>
    </row>
    <row r="74" spans="2:8" x14ac:dyDescent="0.35">
      <c r="B74" s="14"/>
      <c r="C74" s="15"/>
      <c r="D74" s="14"/>
      <c r="E74" s="14"/>
      <c r="F74" s="16"/>
      <c r="G74" s="16"/>
      <c r="H74" s="18"/>
    </row>
    <row r="75" spans="2:8" x14ac:dyDescent="0.35">
      <c r="B75" s="14"/>
      <c r="C75" s="15"/>
      <c r="D75" s="14"/>
      <c r="E75" s="14"/>
      <c r="F75" s="16"/>
      <c r="G75" s="16"/>
      <c r="H75" s="18"/>
    </row>
    <row r="76" spans="2:8" x14ac:dyDescent="0.35">
      <c r="B76" s="14"/>
      <c r="C76" s="15"/>
      <c r="D76" s="14"/>
      <c r="E76" s="14"/>
      <c r="F76" s="16"/>
      <c r="G76" s="16"/>
      <c r="H76" s="18"/>
    </row>
    <row r="77" spans="2:8" x14ac:dyDescent="0.35">
      <c r="B77" s="14"/>
      <c r="C77" s="15"/>
      <c r="D77" s="14"/>
      <c r="E77" s="14"/>
      <c r="F77" s="16"/>
      <c r="G77" s="16"/>
      <c r="H77" s="18"/>
    </row>
    <row r="78" spans="2:8" x14ac:dyDescent="0.35">
      <c r="B78" s="14"/>
      <c r="C78" s="15"/>
      <c r="D78" s="14"/>
      <c r="E78" s="14"/>
      <c r="F78" s="16"/>
      <c r="G78" s="16"/>
      <c r="H78" s="18"/>
    </row>
    <row r="79" spans="2:8" x14ac:dyDescent="0.35">
      <c r="B79" s="14"/>
      <c r="C79" s="15"/>
      <c r="D79" s="14"/>
      <c r="E79" s="14"/>
      <c r="F79" s="16"/>
      <c r="G79" s="16"/>
      <c r="H79" s="18"/>
    </row>
    <row r="80" spans="2:8" x14ac:dyDescent="0.35">
      <c r="B80" s="14"/>
      <c r="C80" s="15"/>
      <c r="D80" s="14"/>
      <c r="E80" s="14"/>
      <c r="F80" s="16"/>
      <c r="G80" s="16"/>
      <c r="H80" s="18"/>
    </row>
    <row r="81" spans="2:8" x14ac:dyDescent="0.35">
      <c r="B81" s="14"/>
      <c r="C81" s="15"/>
      <c r="D81" s="14"/>
      <c r="E81" s="14"/>
      <c r="F81" s="16"/>
      <c r="G81" s="16"/>
      <c r="H81" s="18"/>
    </row>
    <row r="82" spans="2:8" x14ac:dyDescent="0.35">
      <c r="B82" s="14"/>
      <c r="C82" s="15"/>
      <c r="D82" s="14"/>
      <c r="E82" s="14"/>
      <c r="F82" s="16"/>
      <c r="G82" s="16"/>
      <c r="H82" s="18"/>
    </row>
    <row r="83" spans="2:8" x14ac:dyDescent="0.35">
      <c r="B83" s="14"/>
      <c r="C83" s="15"/>
      <c r="D83" s="14"/>
      <c r="E83" s="14"/>
      <c r="F83" s="16"/>
      <c r="G83" s="16"/>
      <c r="H83" s="18"/>
    </row>
    <row r="84" spans="2:8" x14ac:dyDescent="0.35">
      <c r="B84" s="14"/>
      <c r="C84" s="15"/>
      <c r="D84" s="14"/>
      <c r="E84" s="14"/>
      <c r="F84" s="16"/>
      <c r="G84" s="16"/>
      <c r="H84" s="18"/>
    </row>
    <row r="85" spans="2:8" x14ac:dyDescent="0.35">
      <c r="B85" s="14"/>
      <c r="C85" s="15"/>
      <c r="D85" s="14"/>
      <c r="E85" s="14"/>
      <c r="F85" s="16"/>
      <c r="G85" s="16"/>
      <c r="H85" s="18"/>
    </row>
  </sheetData>
  <dataValidations count="3">
    <dataValidation type="list" allowBlank="1" showInputMessage="1" showErrorMessage="1" sqref="L3:L41" xr:uid="{1AEB9AA9-0B27-420A-85C6-ACC85C2EC6AB}">
      <formula1>"Hanif, Ashraf, Salau-deen, Sheriff"</formula1>
    </dataValidation>
    <dataValidation type="list" allowBlank="1" showInputMessage="1" showErrorMessage="1" sqref="D3:D36" xr:uid="{D0EF6D26-0DAD-43C8-B004-8C7C51FD6CAE}">
      <formula1>"Soya, Maize"</formula1>
    </dataValidation>
    <dataValidation type="list" allowBlank="1" showInputMessage="1" showErrorMessage="1" errorTitle="Wrong entery" error="Pleaee enter Yes or No" sqref="K3:K41" xr:uid="{44ABBEC7-52D5-4F61-9276-964247E37EC5}">
      <formula1>"Yes, No"</formula1>
    </dataValidation>
  </dataValidations>
  <pageMargins left="0.7" right="0.7" top="0.75" bottom="0.75" header="0.3" footer="0.3"/>
  <pageSetup scale="37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2025-12-14T19:26:54Z</dcterms:created>
  <dcterms:modified xsi:type="dcterms:W3CDTF">2026-04-03T17:05:47Z</dcterms:modified>
</cp:coreProperties>
</file>